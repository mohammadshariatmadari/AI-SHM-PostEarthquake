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Index" sheetId="1" state="visible" r:id="rId1"/>
    <sheet xmlns:r="http://schemas.openxmlformats.org/officeDocument/2006/relationships" name="Fig 5 - Benchmark 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5" customWidth="1" min="2" max="2"/>
    <col width="67" customWidth="1" min="3" max="3"/>
    <col width="66" customWidth="1" min="4" max="4"/>
  </cols>
  <sheetData>
    <row r="1">
      <c r="A1" s="1" t="inlineStr">
        <is>
          <t>AI-Driven Structural Health Monitoring - Underlying Dataset Master Index</t>
        </is>
      </c>
    </row>
    <row r="2"/>
    <row r="3">
      <c r="A3" s="2" t="inlineStr">
        <is>
          <t>Tab Name</t>
        </is>
      </c>
      <c r="B3" s="2" t="inlineStr">
        <is>
          <t>Target Figure / Table</t>
        </is>
      </c>
      <c r="C3" s="2" t="inlineStr">
        <is>
          <t>Data Description</t>
        </is>
      </c>
      <c r="D3" s="2" t="inlineStr">
        <is>
          <t>Primary Key Metrics</t>
        </is>
      </c>
    </row>
    <row r="4">
      <c r="A4" s="3" t="inlineStr">
        <is>
          <t>Fig 1 - Roadmap</t>
        </is>
      </c>
      <c r="B4" s="3" t="inlineStr">
        <is>
          <t>Figure 1 &amp; Table 1</t>
        </is>
      </c>
      <c r="C4" s="3" t="inlineStr">
        <is>
          <t>5-Stage Research Roadmap &amp; Single-Modal Blind Spot Matrix</t>
        </is>
      </c>
      <c r="D4" s="3" t="inlineStr">
        <is>
          <t>Accuracy drop down to 42.0%, 38% location error</t>
        </is>
      </c>
    </row>
    <row r="5">
      <c r="A5" s="3" t="inlineStr">
        <is>
          <t>Fig 2 - Topology</t>
        </is>
      </c>
      <c r="B5" s="3" t="inlineStr">
        <is>
          <t>Figure 2 &amp; Table 0</t>
        </is>
      </c>
      <c r="C5" s="3" t="inlineStr">
        <is>
          <t>Hardware Sensor Topology &amp; Communication Specifications</t>
        </is>
      </c>
      <c r="D5" s="3" t="inlineStr">
        <is>
          <t>RP2040 133MHz, LoRaWAN 2-byte MQTT, 100Hz acceleration</t>
        </is>
      </c>
    </row>
    <row r="6">
      <c r="A6" s="3" t="inlineStr">
        <is>
          <t>Fig 3 - Datasets</t>
        </is>
      </c>
      <c r="B6" s="3" t="inlineStr">
        <is>
          <t>Figure 3 &amp; Table 2</t>
        </is>
      </c>
      <c r="C6" s="3" t="inlineStr">
        <is>
          <t>Inventory of 11 Global Secondary Seismic Datasets</t>
        </is>
      </c>
      <c r="D6" s="3" t="inlineStr">
        <is>
          <t>3.5M+ structures across Türkiye, Nepal, Italy, Taiwan, Mexico</t>
        </is>
      </c>
    </row>
    <row r="7">
      <c r="A7" s="3" t="inlineStr">
        <is>
          <t>Fig 4 - Neural Pipeline</t>
        </is>
      </c>
      <c r="B7" s="3" t="inlineStr">
        <is>
          <t>Figure 4 &amp; Methodology</t>
        </is>
      </c>
      <c r="C7" s="3" t="inlineStr">
        <is>
          <t>Multimodal Network Architecture &amp; PINN Loss Parameters</t>
        </is>
      </c>
      <c r="D7" s="3" t="inlineStr">
        <is>
          <t>YOLOv11, TinyDeepCrack &lt;0.1mm, PINN MDOF loss, DANN GRL</t>
        </is>
      </c>
    </row>
    <row r="8">
      <c r="A8" s="3" t="inlineStr">
        <is>
          <t>Fig 5 - Benchmark Acc</t>
        </is>
      </c>
      <c r="B8" s="3" t="inlineStr">
        <is>
          <t>Figure 5 &amp; Sec 5.1</t>
        </is>
      </c>
      <c r="C8" s="3" t="inlineStr">
        <is>
          <t>Classification Accuracy Gains Across 6 Key Earthquake Benchmarks</t>
        </is>
      </c>
      <c r="D8" s="3" t="inlineStr">
        <is>
          <t>Türkiye 99.27%, Nepal 74.60%, Italy DaDO 85.80%</t>
        </is>
      </c>
    </row>
    <row r="9">
      <c r="A9" s="3" t="inlineStr">
        <is>
          <t>Fig 6 - Confusion Matrix</t>
        </is>
      </c>
      <c r="B9" s="3" t="inlineStr">
        <is>
          <t>Figure 6 &amp; Sec 5.2</t>
        </is>
      </c>
      <c r="C9" s="3" t="inlineStr">
        <is>
          <t>ATC-20 / EMS-98 Safety Tagging Confusion Matrix Counts</t>
        </is>
      </c>
      <c r="D9" s="3" t="inlineStr">
        <is>
          <t>98.4% Green, 95.8% Yellow, 98.8% Red, 0% critical error</t>
        </is>
      </c>
    </row>
    <row r="10">
      <c r="A10" s="3" t="inlineStr">
        <is>
          <t>Fig 7 - Edge &amp; Drift</t>
        </is>
      </c>
      <c r="B10" s="3" t="inlineStr">
        <is>
          <t>Figure 7 &amp; Sec 5.3</t>
        </is>
      </c>
      <c r="C10" s="3" t="inlineStr">
        <is>
          <t>Hardware Latency Profiling &amp; Inter-Story Drift Demands</t>
        </is>
      </c>
      <c r="D10" s="3" t="inlineStr">
        <is>
          <t>RP2040 20.4ms latency, 1.4kB RAM, Drift RMSE 2.51mm</t>
        </is>
      </c>
    </row>
    <row r="11">
      <c r="A11" s="3" t="inlineStr">
        <is>
          <t>Fig 8 - Economic VCR</t>
        </is>
      </c>
      <c r="B11" s="3" t="inlineStr">
        <is>
          <t>Figure 8 &amp; Table 4</t>
        </is>
      </c>
      <c r="C11" s="3" t="inlineStr">
        <is>
          <t>Financial Feasibility, CAPEX/OPEX, and Value-to-Cost Ratios</t>
        </is>
      </c>
      <c r="D11" s="3" t="inlineStr">
        <is>
          <t>VCR = 215.0, LoR = 31.38 MW-day resilience gain</t>
        </is>
      </c>
    </row>
    <row r="12">
      <c r="A12" s="3" t="inlineStr">
        <is>
          <t>Fig 9 - EOC &amp; Tiers</t>
        </is>
      </c>
      <c r="B12" s="3" t="inlineStr">
        <is>
          <t>Figure 9 &amp; Table 5</t>
        </is>
      </c>
      <c r="C12" s="3" t="inlineStr">
        <is>
          <t>Municipal 10,000 Building Stock Allocation &amp; EOC Interface</t>
        </is>
      </c>
      <c r="D12" s="3" t="inlineStr">
        <is>
          <t>Tier 1 ($5.5k), Tier 2 ($1.0k), Tier 3 ($40), 98.3% cost saving</t>
        </is>
      </c>
    </row>
    <row r="13">
      <c r="A13" s="3" t="inlineStr">
        <is>
          <t>Table 3 - Ablation Study</t>
        </is>
      </c>
      <c r="B13" s="3" t="inlineStr">
        <is>
          <t>Table 3 &amp; Sec 5.4</t>
        </is>
      </c>
      <c r="C13" s="3" t="inlineStr">
        <is>
          <t>Ablation Study Metrics across PINN and DANN Modules</t>
        </is>
      </c>
      <c r="D13" s="3" t="inlineStr">
        <is>
          <t>Drift RMSE 3.42mm -&gt; 2.51mm, Nepal F1 0.58 -&gt; 0.72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1" customWidth="1" min="1" max="1"/>
    <col width="41" customWidth="1" min="2" max="2"/>
    <col width="31" customWidth="1" min="3" max="3"/>
    <col width="35" customWidth="1" min="4" max="4"/>
    <col width="20" customWidth="1" min="5" max="5"/>
    <col width="31" customWidth="1" min="6" max="6"/>
  </cols>
  <sheetData>
    <row r="1">
      <c r="A1" s="1" t="inlineStr">
        <is>
          <t>Figure 5: Comparative Classification Accuracy Gains Across 6 Global Benchmarks</t>
        </is>
      </c>
    </row>
    <row r="2"/>
    <row r="3">
      <c r="A3" s="4" t="inlineStr">
        <is>
          <t>Seismic Benchmark Dataset</t>
        </is>
      </c>
      <c r="B3" s="4" t="inlineStr">
        <is>
          <t>Location &amp; Event Context</t>
        </is>
      </c>
      <c r="C3" s="4" t="inlineStr">
        <is>
          <t>Single Baseline Accuracy (%)</t>
        </is>
      </c>
      <c r="D3" s="4" t="inlineStr">
        <is>
          <t>Proposed Multimodal Accuracy (%)</t>
        </is>
      </c>
      <c r="E3" s="4" t="inlineStr">
        <is>
          <t>Accuracy Gain (%)</t>
        </is>
      </c>
      <c r="F3" s="4" t="inlineStr">
        <is>
          <t>Relative Error Reduction (%)</t>
        </is>
      </c>
    </row>
    <row r="4">
      <c r="A4" s="5" t="inlineStr">
        <is>
          <t>Türkiye Kahramanmaraş Inventory</t>
        </is>
      </c>
      <c r="B4" s="5" t="inlineStr">
        <is>
          <t>Feb 2023 Mw 7.8/7.5 (2.4M bldgs)</t>
        </is>
      </c>
      <c r="C4" s="5" t="n">
        <v>88.45</v>
      </c>
      <c r="D4" s="5" t="n">
        <v>99.27</v>
      </c>
      <c r="E4" s="5">
        <f>D4-C4</f>
        <v/>
      </c>
      <c r="F4" s="5">
        <f>(D4-C4)/(100-C4)*100</f>
        <v/>
      </c>
    </row>
    <row r="5">
      <c r="A5" s="5" t="inlineStr">
        <is>
          <t>Nepal Gorkha Building Inventory</t>
        </is>
      </c>
      <c r="B5" s="5" t="inlineStr">
        <is>
          <t>Apr 2015 Mw 7.8 (762k bldgs)</t>
        </is>
      </c>
      <c r="C5" s="5" t="n">
        <v>59.2</v>
      </c>
      <c r="D5" s="5" t="n">
        <v>74.59999999999999</v>
      </c>
      <c r="E5" s="5">
        <f>D5-C5</f>
        <v/>
      </c>
      <c r="F5" s="5">
        <f>(D5-C5)/(100-C5)*100</f>
        <v/>
      </c>
    </row>
    <row r="6">
      <c r="A6" s="5" t="inlineStr">
        <is>
          <t>Italy DaDO Observed Damage DB</t>
        </is>
      </c>
      <c r="B6" s="5" t="inlineStr">
        <is>
          <t>Irpinia/L'Aquila/Amatrice (108k bldgs)</t>
        </is>
      </c>
      <c r="C6" s="5" t="n">
        <v>64.5</v>
      </c>
      <c r="D6" s="5" t="n">
        <v>85.8</v>
      </c>
      <c r="E6" s="5">
        <f>D6-C6</f>
        <v/>
      </c>
      <c r="F6" s="5">
        <f>(D6-C6)/(100-C6)*100</f>
        <v/>
      </c>
    </row>
    <row r="7">
      <c r="A7" s="5" t="inlineStr">
        <is>
          <t>Taiwan Hualien UAV Dataset</t>
        </is>
      </c>
      <c r="B7" s="5" t="inlineStr">
        <is>
          <t>Apr 2024 Mw 7.4 (2,150 images)</t>
        </is>
      </c>
      <c r="C7" s="5" t="n">
        <v>89.09999999999999</v>
      </c>
      <c r="D7" s="5" t="n">
        <v>96.40000000000001</v>
      </c>
      <c r="E7" s="5">
        <f>D7-C7</f>
        <v/>
      </c>
      <c r="F7" s="5">
        <f>(D7-C7)/(100-C7)*100</f>
        <v/>
      </c>
    </row>
    <row r="8">
      <c r="A8" s="5" t="inlineStr">
        <is>
          <t>Mexico City Earthquake Portfolio</t>
        </is>
      </c>
      <c r="B8" s="5" t="inlineStr">
        <is>
          <t>Sep 2017 Mw 7.1 (1,850 images)</t>
        </is>
      </c>
      <c r="C8" s="5" t="n">
        <v>72.3</v>
      </c>
      <c r="D8" s="5" t="n">
        <v>91.2</v>
      </c>
      <c r="E8" s="5">
        <f>D8-C8</f>
        <v/>
      </c>
      <c r="F8" s="5">
        <f>(D8-C8)/(100-C8)*100</f>
        <v/>
      </c>
    </row>
    <row r="9">
      <c r="A9" s="5" t="inlineStr">
        <is>
          <t>Pohang Korea Structural Dataset</t>
        </is>
      </c>
      <c r="B9" s="5" t="inlineStr">
        <is>
          <t>Nov 2017 Mw 5.4 (1,200 setups)</t>
        </is>
      </c>
      <c r="C9" s="5" t="n">
        <v>78.5</v>
      </c>
      <c r="D9" s="5" t="n">
        <v>93.5</v>
      </c>
      <c r="E9" s="5">
        <f>D9-C9</f>
        <v/>
      </c>
      <c r="F9" s="5">
        <f>(D9-C9)/(100-C9)*100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2026-10-03T12:57:40Z</dcterms:created>
  <dcterms:modified xmlns:dcterms="http://purl.org/dc/terms/" xmlns:xsi="http://www.w3.org/2001/XMLSchema-instance" xsi:type="dcterms:W3CDTF">2026-10-03T12:57:40Z</dcterms:modified>
</cp:coreProperties>
</file>